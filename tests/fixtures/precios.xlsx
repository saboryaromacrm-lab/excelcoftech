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  <sheet sheetId="2" name="Lista" state="visible" r:id="rId5"/>
  </sheets>
  <calcPr calcId="171027"/>
</workbook>
</file>

<file path=xl/sharedStrings.xml><?xml version="1.0" encoding="utf-8"?>
<sst xmlns="http://schemas.openxmlformats.org/spreadsheetml/2006/main" count="26" uniqueCount="22">
  <si>
    <t>Código</t>
  </si>
  <si>
    <t>Producto</t>
  </si>
  <si>
    <t>Precio</t>
  </si>
  <si>
    <t>Con IVA</t>
  </si>
  <si>
    <t>Categoría</t>
  </si>
  <si>
    <t>A001</t>
  </si>
  <si>
    <t>Coca Cola 1,5L</t>
  </si>
  <si>
    <t>Bebidas</t>
  </si>
  <si>
    <t>A002</t>
  </si>
  <si>
    <t>Agua mineral 2L</t>
  </si>
  <si>
    <t>B001</t>
  </si>
  <si>
    <t>Yerba mate 1kg</t>
  </si>
  <si>
    <t>Almacén</t>
  </si>
  <si>
    <t>B002</t>
  </si>
  <si>
    <t>Azúcar 1kg</t>
  </si>
  <si>
    <t>C001</t>
  </si>
  <si>
    <t>Lavandina 1L</t>
  </si>
  <si>
    <t>Limpieza</t>
  </si>
  <si>
    <t>Total</t>
  </si>
  <si>
    <t>Busca B001</t>
  </si>
  <si>
    <t>Lista vigente</t>
  </si>
  <si>
    <t>Encontrado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</si>
</sst>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72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5" width="14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3">
        <v>1850</v>
      </c>
      <c r="D2" s="3">
        <f>ROUND(C2*1.21,2)</f>
      </c>
      <c r="E2" t="s">
        <v>7</v>
      </c>
    </row>
    <row r="3" spans="1:5" x14ac:dyDescent="0.25">
      <c r="A3" t="s">
        <v>8</v>
      </c>
      <c r="B3" t="s">
        <v>9</v>
      </c>
      <c r="C3" s="3">
        <v>950</v>
      </c>
      <c r="D3" s="3">
        <f>ROUND(C3*1.21,2)</f>
      </c>
      <c r="E3" t="s">
        <v>7</v>
      </c>
    </row>
    <row r="4" spans="1:5" x14ac:dyDescent="0.25">
      <c r="A4" t="s">
        <v>10</v>
      </c>
      <c r="B4" t="s">
        <v>11</v>
      </c>
      <c r="C4" s="3">
        <v>4200</v>
      </c>
      <c r="D4" s="3">
        <f>ROUND(C4*1.21,2)</f>
      </c>
      <c r="E4" t="s">
        <v>12</v>
      </c>
    </row>
    <row r="5" spans="1:5" x14ac:dyDescent="0.25">
      <c r="A5" t="s">
        <v>13</v>
      </c>
      <c r="B5" t="s">
        <v>14</v>
      </c>
      <c r="C5" s="3">
        <v>1300</v>
      </c>
      <c r="D5" s="3">
        <f>ROUND(C5*1.21,2)</f>
      </c>
      <c r="E5" t="s">
        <v>12</v>
      </c>
    </row>
    <row r="6" spans="1:5" x14ac:dyDescent="0.25">
      <c r="A6" t="s">
        <v>15</v>
      </c>
      <c r="B6" t="s">
        <v>16</v>
      </c>
      <c r="C6" s="3">
        <v>780</v>
      </c>
      <c r="D6" s="3">
        <f>ROUND(C6*1.21,2)</f>
      </c>
      <c r="E6" t="s">
        <v>17</v>
      </c>
    </row>
    <row r="8" spans="2:3" x14ac:dyDescent="0.25">
      <c r="B8" t="s">
        <v>18</v>
      </c>
      <c r="C8" s="3">
        <f>SUM(C2:C6)</f>
      </c>
    </row>
    <row r="9" spans="2:3" x14ac:dyDescent="0.25">
      <c r="B9" t="s">
        <v>7</v>
      </c>
      <c r="C9">
        <f>SUMIF(E2:E6,"Bebidas",C2:C6)</f>
      </c>
    </row>
    <row r="10" spans="2:3" x14ac:dyDescent="0.25">
      <c r="B10" t="s">
        <v>19</v>
      </c>
      <c r="C10">
        <f>VLOOKUP("B001",Lista!A:B,2,FALSE)</f>
      </c>
    </row>
    <row r="12" spans="1:3" x14ac:dyDescent="0.25">
      <c r="A12" t="s">
        <v>20</v>
      </c>
      <c r="B12"/>
      <c r="C12"/>
    </row>
  </sheetData>
  <mergeCells count="1"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10</v>
      </c>
      <c r="B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Precios</vt:lpstr>
      <vt:lpstr>Lista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2026-10-01T21:10:59Z</dcterms:created>
  <dcterms:modified xsi:type="dcterms:W3CDTF">2026-10-01T21:10:59Z</dcterms:modified>
</cp:coreProperties>
</file>